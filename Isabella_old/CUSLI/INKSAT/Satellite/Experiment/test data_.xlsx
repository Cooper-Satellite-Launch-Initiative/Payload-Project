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  <sheet state="visible" name="no e" sheetId="2" r:id="rId5"/>
    <sheet state="visible" name="no e 2" sheetId="3" r:id="rId6"/>
    <sheet state="visible" name="no e 3" sheetId="4" r:id="rId7"/>
    <sheet state="visible" name="blank e 1" sheetId="5" r:id="rId8"/>
    <sheet state="visible" name="Copy of blank e 1" sheetId="6" r:id="rId9"/>
    <sheet state="visible" name="Copy of Copy of blank e 1" sheetId="7" r:id="rId10"/>
    <sheet state="visible" name="no insu" sheetId="8" r:id="rId11"/>
    <sheet state="visible" name="Copy of no insu" sheetId="9" r:id="rId12"/>
    <sheet state="visible" name="Copy of Copy of no insu" sheetId="10" r:id="rId13"/>
    <sheet state="visible" name="fully e " sheetId="11" r:id="rId14"/>
    <sheet state="visible" name="Copy of fully e " sheetId="12" r:id="rId15"/>
    <sheet state="visible" name="Copy of Copy of fully e " sheetId="13" r:id="rId16"/>
  </sheets>
  <definedNames/>
  <calcPr/>
</workbook>
</file>

<file path=xl/sharedStrings.xml><?xml version="1.0" encoding="utf-8"?>
<sst xmlns="http://schemas.openxmlformats.org/spreadsheetml/2006/main" count="189" uniqueCount="18">
  <si>
    <t>A</t>
  </si>
  <si>
    <t>B</t>
  </si>
  <si>
    <t>C</t>
  </si>
  <si>
    <t>k</t>
  </si>
  <si>
    <t>W/mK</t>
  </si>
  <si>
    <t>m^2</t>
  </si>
  <si>
    <t>z</t>
  </si>
  <si>
    <t>m</t>
  </si>
  <si>
    <t>Q = kAT/Z</t>
  </si>
  <si>
    <t>Qab</t>
  </si>
  <si>
    <t>kbc</t>
  </si>
  <si>
    <t>error</t>
  </si>
  <si>
    <t>%</t>
  </si>
  <si>
    <t>surface e paper</t>
  </si>
  <si>
    <t>surface bulb</t>
  </si>
  <si>
    <t>bounced btwn 44.69</t>
  </si>
  <si>
    <t>bounced btwn 78.18</t>
  </si>
  <si>
    <t>bounced btwn 77.5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</si>
</sst>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8" Type="http://schemas.openxmlformats.org/officeDocument/2006/relationships/worksheet" Target="worksheets/sheet5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17" Type="http://schemas.openxmlformats.org/officeDocument/2006/relationships/customXml" Target="../customXml/item1.xml"/><Relationship Id="rId2" Type="http://schemas.openxmlformats.org/officeDocument/2006/relationships/styles" Target="styles.xml"/><Relationship Id="rId16" Type="http://schemas.openxmlformats.org/officeDocument/2006/relationships/worksheet" Target="worksheets/sheet13.xml"/><Relationship Id="rId11" Type="http://schemas.openxmlformats.org/officeDocument/2006/relationships/worksheet" Target="worksheets/sheet8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5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10" Type="http://schemas.openxmlformats.org/officeDocument/2006/relationships/worksheet" Target="worksheets/sheet7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115.0</v>
      </c>
    </row>
    <row r="2">
      <c r="A2" s="1">
        <v>29.82</v>
      </c>
      <c r="C2" s="2">
        <f t="shared" ref="C2:C5" si="1">(A2-$A$1)/$A$1</f>
        <v>-0.7406956522</v>
      </c>
      <c r="D2" s="2">
        <f t="shared" ref="D2:D5" si="2">C2*100</f>
        <v>-74.06956522</v>
      </c>
    </row>
    <row r="3">
      <c r="A3" s="1">
        <v>124.25</v>
      </c>
      <c r="C3" s="2">
        <f t="shared" si="1"/>
        <v>0.08043478261</v>
      </c>
      <c r="D3" s="2">
        <f t="shared" si="2"/>
        <v>8.043478261</v>
      </c>
    </row>
    <row r="4">
      <c r="A4" s="1">
        <v>125.95</v>
      </c>
      <c r="C4" s="2">
        <f t="shared" si="1"/>
        <v>0.0952173913</v>
      </c>
      <c r="D4" s="2">
        <f t="shared" si="2"/>
        <v>9.52173913</v>
      </c>
    </row>
    <row r="5">
      <c r="A5" s="1">
        <v>118.0</v>
      </c>
      <c r="C5" s="2">
        <f t="shared" si="1"/>
        <v>0.02608695652</v>
      </c>
      <c r="D5" s="2">
        <f t="shared" si="2"/>
        <v>2.608695652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39.06</v>
      </c>
      <c r="C2" s="1">
        <v>38.5</v>
      </c>
      <c r="D2" s="1">
        <v>38.25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-0.56</v>
      </c>
      <c r="D3" s="2">
        <f>C2-D2</f>
        <v>0.25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5.937610115</v>
      </c>
    </row>
    <row r="7">
      <c r="A7" s="1" t="s">
        <v>10</v>
      </c>
      <c r="B7" s="2">
        <f>(B5*M3)/(J2*-(D2-C2))</f>
        <v>134.4</v>
      </c>
    </row>
    <row r="9">
      <c r="A9" s="1" t="s">
        <v>11</v>
      </c>
      <c r="B9" s="2">
        <f>((G2-B7)/G2)*100</f>
        <v>-12</v>
      </c>
      <c r="C9" s="1" t="s">
        <v>12</v>
      </c>
    </row>
    <row r="10">
      <c r="C10" s="2">
        <f>(39.94*2 +39.06) /3</f>
        <v>39.64666667</v>
      </c>
    </row>
    <row r="13">
      <c r="C13" s="2">
        <f>38.75+38.69+D2</f>
        <v>115.69</v>
      </c>
    </row>
    <row r="14">
      <c r="C14" s="2">
        <f>C13/3</f>
        <v>38.56333333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39.94</v>
      </c>
      <c r="C2" s="1">
        <v>39.13</v>
      </c>
      <c r="D2" s="1">
        <v>38.69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-0.81</v>
      </c>
      <c r="D3" s="2">
        <f>C2-D2</f>
        <v>0.44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8.588328917</v>
      </c>
    </row>
    <row r="7">
      <c r="A7" s="1" t="s">
        <v>10</v>
      </c>
      <c r="B7" s="2">
        <f>(B5*M3)/(J2*-(D2-C2))</f>
        <v>110.4545455</v>
      </c>
    </row>
    <row r="9">
      <c r="A9" s="1" t="s">
        <v>11</v>
      </c>
      <c r="B9" s="2">
        <f>((G2-B7)/G2)*100</f>
        <v>7.954545455</v>
      </c>
      <c r="C9" s="1" t="s">
        <v>12</v>
      </c>
    </row>
    <row r="22">
      <c r="C22" s="2">
        <f>38.5+39.13+39.13</f>
        <v>116.76</v>
      </c>
    </row>
    <row r="23">
      <c r="C23" s="2">
        <f>C22/3</f>
        <v>38.92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39.94</v>
      </c>
      <c r="C2" s="1">
        <v>39.13</v>
      </c>
      <c r="D2" s="1">
        <v>38.75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-0.81</v>
      </c>
      <c r="D3" s="2">
        <f>C2-D2</f>
        <v>0.38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8.588328917</v>
      </c>
    </row>
    <row r="7">
      <c r="A7" s="1" t="s">
        <v>10</v>
      </c>
      <c r="B7" s="2">
        <f>(B5*M3)/(J2*-(D2-C2))</f>
        <v>127.8947368</v>
      </c>
    </row>
    <row r="9">
      <c r="A9" s="1" t="s">
        <v>11</v>
      </c>
      <c r="B9" s="2">
        <f>((G2-B7)/G2)*100</f>
        <v>-6.578947368</v>
      </c>
      <c r="C9" s="1" t="s">
        <v>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31.13</v>
      </c>
      <c r="C2" s="1">
        <v>30.56</v>
      </c>
      <c r="D2" s="1">
        <v>30.31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-0.57</v>
      </c>
      <c r="D3" s="2">
        <f>C2-D2</f>
        <v>0.25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6.043638867</v>
      </c>
    </row>
    <row r="7">
      <c r="A7" s="1" t="s">
        <v>10</v>
      </c>
      <c r="B7" s="2">
        <f>(B5*M3)/(J2*-(D2-C2))</f>
        <v>136.8</v>
      </c>
    </row>
    <row r="9">
      <c r="A9" s="1" t="s">
        <v>11</v>
      </c>
      <c r="B9" s="2">
        <f>((G2-B7)/G2)*100</f>
        <v>-14</v>
      </c>
      <c r="C9" s="1" t="s">
        <v>12</v>
      </c>
    </row>
    <row r="12">
      <c r="A12" s="1" t="s">
        <v>13</v>
      </c>
      <c r="B12" s="1">
        <v>44.13</v>
      </c>
    </row>
    <row r="13">
      <c r="A13" s="1" t="s">
        <v>14</v>
      </c>
      <c r="B13" s="1">
        <v>49.63</v>
      </c>
      <c r="C13" s="1" t="s">
        <v>15</v>
      </c>
    </row>
    <row r="19">
      <c r="A19" s="3">
        <v>0.4340277777777778</v>
      </c>
      <c r="B19" s="1">
        <v>12.0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31.43</v>
      </c>
      <c r="C2" s="1">
        <v>30.9</v>
      </c>
      <c r="D2" s="1">
        <v>30.59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-0.53</v>
      </c>
      <c r="D3" s="2">
        <f>C2-D2</f>
        <v>0.31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5.619523859</v>
      </c>
    </row>
    <row r="7">
      <c r="A7" s="1" t="s">
        <v>10</v>
      </c>
      <c r="B7" s="2">
        <f>(B5*M3)/(J2*-(D2-C2))</f>
        <v>102.5806452</v>
      </c>
    </row>
    <row r="9">
      <c r="A9" s="1" t="s">
        <v>11</v>
      </c>
      <c r="B9" s="2">
        <f>((G2-B7)/G2)*100</f>
        <v>14.51612903</v>
      </c>
      <c r="C9" s="1" t="s">
        <v>12</v>
      </c>
    </row>
    <row r="12">
      <c r="A12" s="1" t="s">
        <v>13</v>
      </c>
      <c r="B12" s="1">
        <v>44.13</v>
      </c>
    </row>
    <row r="13">
      <c r="A13" s="1" t="s">
        <v>14</v>
      </c>
      <c r="B13" s="1">
        <v>49.63</v>
      </c>
    </row>
    <row r="19">
      <c r="A19" s="3">
        <v>0.4340277777777778</v>
      </c>
      <c r="B19" s="1">
        <v>12.0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32.09</v>
      </c>
      <c r="C2" s="1">
        <v>31.19</v>
      </c>
      <c r="D2" s="1">
        <v>30.8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-0.9</v>
      </c>
      <c r="D3" s="2">
        <f>C2-D2</f>
        <v>0.39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9.542587685</v>
      </c>
    </row>
    <row r="7">
      <c r="A7" s="1" t="s">
        <v>10</v>
      </c>
      <c r="B7" s="2">
        <f>(B5*M3)/(J2*-(D2-C2))</f>
        <v>138.4615385</v>
      </c>
    </row>
    <row r="9">
      <c r="A9" s="1" t="s">
        <v>11</v>
      </c>
      <c r="B9" s="2">
        <f>((G2-B7)/G2)*100</f>
        <v>-15.38461538</v>
      </c>
      <c r="C9" s="1" t="s">
        <v>12</v>
      </c>
    </row>
    <row r="12">
      <c r="A12" s="1" t="s">
        <v>13</v>
      </c>
      <c r="B12" s="1">
        <v>44.13</v>
      </c>
    </row>
    <row r="13">
      <c r="A13" s="1" t="s">
        <v>14</v>
      </c>
      <c r="B13" s="1">
        <v>49.63</v>
      </c>
    </row>
    <row r="19">
      <c r="A19" s="3">
        <v>0.4340277777777778</v>
      </c>
      <c r="B19" s="1">
        <v>12.0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29.31</v>
      </c>
      <c r="C2" s="1">
        <v>28.87</v>
      </c>
      <c r="D2" s="1">
        <v>27.69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-0.44</v>
      </c>
      <c r="D3" s="2">
        <f>C2-D2</f>
        <v>1.18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4.665265091</v>
      </c>
    </row>
    <row r="7">
      <c r="A7" s="1" t="s">
        <v>10</v>
      </c>
      <c r="B7" s="2">
        <f>(B5*M3)/(J2*-(D2-C2))</f>
        <v>22.37288136</v>
      </c>
    </row>
    <row r="9">
      <c r="A9" s="1" t="s">
        <v>11</v>
      </c>
      <c r="B9" s="2">
        <f>((G2-B7)/G2)*100</f>
        <v>81.3559322</v>
      </c>
      <c r="C9" s="1" t="s">
        <v>12</v>
      </c>
    </row>
    <row r="12">
      <c r="A12" s="1" t="s">
        <v>13</v>
      </c>
      <c r="B12" s="1">
        <v>44.13</v>
      </c>
    </row>
    <row r="13">
      <c r="A13" s="1" t="s">
        <v>14</v>
      </c>
      <c r="B13" s="1">
        <v>49.63</v>
      </c>
    </row>
    <row r="19">
      <c r="A19" s="3">
        <v>0.0625</v>
      </c>
      <c r="B19" s="1">
        <v>12.0</v>
      </c>
    </row>
    <row r="20">
      <c r="B20" s="2">
        <f>D2+28.06+28.44</f>
        <v>84.19</v>
      </c>
    </row>
    <row r="21">
      <c r="B21" s="2">
        <f>B20/3</f>
        <v>28.06333333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29.31</v>
      </c>
      <c r="C2" s="1">
        <v>28.87</v>
      </c>
      <c r="D2" s="1">
        <v>28.06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-0.44</v>
      </c>
      <c r="D3" s="2">
        <f>C2-D2</f>
        <v>0.81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4.665265091</v>
      </c>
    </row>
    <row r="7">
      <c r="A7" s="1" t="s">
        <v>10</v>
      </c>
      <c r="B7" s="2">
        <f>(B5*M3)/(J2*-(D2-C2))</f>
        <v>32.59259259</v>
      </c>
    </row>
    <row r="9">
      <c r="A9" s="1" t="s">
        <v>11</v>
      </c>
      <c r="B9" s="2">
        <f>((G2-B7)/G2)*100</f>
        <v>72.83950617</v>
      </c>
      <c r="C9" s="1" t="s">
        <v>12</v>
      </c>
    </row>
    <row r="12">
      <c r="A12" s="1" t="s">
        <v>13</v>
      </c>
      <c r="B12" s="1">
        <v>44.13</v>
      </c>
    </row>
    <row r="13">
      <c r="A13" s="1" t="s">
        <v>14</v>
      </c>
      <c r="B13" s="1">
        <v>49.63</v>
      </c>
    </row>
    <row r="17">
      <c r="C17" s="2">
        <f>29.19+28.87+28.87</f>
        <v>86.93</v>
      </c>
    </row>
    <row r="18">
      <c r="C18" s="2">
        <f>C17/3</f>
        <v>28.97666667</v>
      </c>
    </row>
    <row r="19">
      <c r="A19" s="3">
        <v>0.4340277777777778</v>
      </c>
      <c r="B19" s="1">
        <v>12.0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F1" s="1"/>
      <c r="G1" s="1"/>
      <c r="H1" s="1"/>
    </row>
    <row r="2">
      <c r="B2" s="1">
        <v>29.62</v>
      </c>
      <c r="C2" s="1">
        <v>29.19</v>
      </c>
      <c r="D2" s="1">
        <v>28.44</v>
      </c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B3" s="2">
        <f>C2-B2</f>
        <v>-0.43</v>
      </c>
      <c r="D3" s="2">
        <f>C2-D2</f>
        <v>0.75</v>
      </c>
      <c r="M3" s="1">
        <v>0.001</v>
      </c>
    </row>
    <row r="4">
      <c r="A4" s="1" t="s">
        <v>8</v>
      </c>
    </row>
    <row r="5">
      <c r="A5" s="1" t="s">
        <v>9</v>
      </c>
      <c r="B5" s="2">
        <f>(G2*J2*-(C2-B2))/M2</f>
        <v>4.559236339</v>
      </c>
    </row>
    <row r="7">
      <c r="A7" s="1" t="s">
        <v>10</v>
      </c>
      <c r="B7" s="2">
        <f>(B5*M3)/(J2*-(D2-C2))</f>
        <v>34.4</v>
      </c>
    </row>
    <row r="9">
      <c r="A9" s="1" t="s">
        <v>11</v>
      </c>
      <c r="B9" s="2">
        <f>((G2-B7)/G2)*100</f>
        <v>71.33333333</v>
      </c>
      <c r="C9" s="1" t="s">
        <v>12</v>
      </c>
    </row>
    <row r="12">
      <c r="A12" s="1" t="s">
        <v>13</v>
      </c>
      <c r="B12" s="1">
        <v>44.13</v>
      </c>
    </row>
    <row r="13">
      <c r="A13" s="1" t="s">
        <v>14</v>
      </c>
      <c r="B13" s="1">
        <v>49.63</v>
      </c>
    </row>
    <row r="19">
      <c r="A19" s="3">
        <v>0.4340277777777778</v>
      </c>
      <c r="B19" s="1">
        <v>12.0</v>
      </c>
    </row>
    <row r="24">
      <c r="B24" s="2">
        <f>29.31*2</f>
        <v>58.62</v>
      </c>
    </row>
    <row r="25">
      <c r="B25" s="2">
        <f>B24+29.62</f>
        <v>88.24</v>
      </c>
    </row>
    <row r="26">
      <c r="B26" s="2">
        <f>B25/3</f>
        <v>29.41333333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0</v>
      </c>
      <c r="C1" s="5" t="s">
        <v>1</v>
      </c>
      <c r="D1" s="5" t="s">
        <v>2</v>
      </c>
      <c r="E1" s="4"/>
      <c r="F1" s="1"/>
      <c r="G1" s="1"/>
      <c r="H1" s="1"/>
    </row>
    <row r="2">
      <c r="A2" s="4"/>
      <c r="B2" s="6">
        <v>27.0</v>
      </c>
      <c r="C2" s="6">
        <v>26.62</v>
      </c>
      <c r="D2" s="6">
        <v>26.44</v>
      </c>
      <c r="E2" s="4"/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A3" s="4"/>
      <c r="B3" s="7">
        <f>C2-B2</f>
        <v>-0.38</v>
      </c>
      <c r="C3" s="4"/>
      <c r="D3" s="7">
        <f>C2-D2</f>
        <v>0.18</v>
      </c>
      <c r="E3" s="4"/>
      <c r="M3" s="1">
        <v>0.001</v>
      </c>
    </row>
    <row r="4">
      <c r="A4" s="5" t="s">
        <v>8</v>
      </c>
      <c r="B4" s="4"/>
      <c r="C4" s="4"/>
      <c r="D4" s="4"/>
      <c r="E4" s="4"/>
    </row>
    <row r="5">
      <c r="A5" s="5" t="s">
        <v>9</v>
      </c>
      <c r="B5" s="7">
        <f>(G2*J2*-(C2-B2))/M2</f>
        <v>4.029092578</v>
      </c>
      <c r="C5" s="4"/>
      <c r="D5" s="4"/>
      <c r="E5" s="4"/>
    </row>
    <row r="6">
      <c r="A6" s="4"/>
      <c r="B6" s="4"/>
      <c r="C6" s="4"/>
      <c r="D6" s="4"/>
      <c r="E6" s="4"/>
    </row>
    <row r="7">
      <c r="A7" s="5" t="s">
        <v>10</v>
      </c>
      <c r="B7" s="7">
        <f>(B5*M3)/(J2*-(D2-C2))</f>
        <v>126.6666667</v>
      </c>
      <c r="C7" s="4"/>
      <c r="D7" s="4"/>
      <c r="E7" s="4"/>
    </row>
    <row r="8">
      <c r="A8" s="4"/>
      <c r="B8" s="4"/>
      <c r="C8" s="4"/>
      <c r="D8" s="4"/>
      <c r="E8" s="4"/>
    </row>
    <row r="9">
      <c r="A9" s="5" t="s">
        <v>11</v>
      </c>
      <c r="B9" s="7">
        <f>((G2-B7)/G2)*100</f>
        <v>-5.555555556</v>
      </c>
      <c r="C9" s="5" t="s">
        <v>12</v>
      </c>
      <c r="D9" s="4"/>
      <c r="E9" s="4"/>
    </row>
    <row r="12">
      <c r="A12" s="1" t="s">
        <v>13</v>
      </c>
      <c r="B12" s="1">
        <v>82.44</v>
      </c>
      <c r="C12" s="1" t="s">
        <v>16</v>
      </c>
    </row>
    <row r="13">
      <c r="A13" s="1" t="s">
        <v>14</v>
      </c>
      <c r="B13" s="1">
        <v>44.81</v>
      </c>
    </row>
    <row r="19">
      <c r="A19" s="3">
        <v>0.1423611111111111</v>
      </c>
    </row>
    <row r="22">
      <c r="D22" s="2">
        <f>82.44+78.18 +76+73+77.5+79.94</f>
        <v>467.06</v>
      </c>
      <c r="E22" s="2">
        <f>D22/6</f>
        <v>77.84333333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0</v>
      </c>
      <c r="C1" s="5" t="s">
        <v>1</v>
      </c>
      <c r="D1" s="5" t="s">
        <v>2</v>
      </c>
      <c r="E1" s="4"/>
      <c r="F1" s="1"/>
      <c r="G1" s="1"/>
      <c r="H1" s="1"/>
    </row>
    <row r="2">
      <c r="A2" s="4"/>
      <c r="B2" s="8">
        <f>(25.12+25.06+24.81)/3</f>
        <v>24.99666667</v>
      </c>
      <c r="C2" s="8">
        <v>24.62</v>
      </c>
      <c r="D2" s="8">
        <v>24.37</v>
      </c>
      <c r="E2" s="4"/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A3" s="4"/>
      <c r="B3" s="7">
        <f>C2-B2</f>
        <v>-0.3766666667</v>
      </c>
      <c r="C3" s="4"/>
      <c r="D3" s="7">
        <f>C2-D2</f>
        <v>0.25</v>
      </c>
      <c r="E3" s="4"/>
      <c r="M3" s="1">
        <v>0.001</v>
      </c>
    </row>
    <row r="4">
      <c r="A4" s="5" t="s">
        <v>8</v>
      </c>
      <c r="B4" s="4"/>
      <c r="C4" s="4"/>
      <c r="D4" s="4"/>
      <c r="E4" s="4"/>
    </row>
    <row r="5">
      <c r="A5" s="5" t="s">
        <v>9</v>
      </c>
      <c r="B5" s="7">
        <f>(G2*J2*-(C2-B2))/M2</f>
        <v>3.993749661</v>
      </c>
      <c r="C5" s="4"/>
      <c r="D5" s="4"/>
      <c r="E5" s="4"/>
    </row>
    <row r="6">
      <c r="A6" s="4"/>
      <c r="B6" s="4"/>
      <c r="C6" s="4"/>
      <c r="D6" s="4"/>
      <c r="E6" s="4"/>
    </row>
    <row r="7">
      <c r="A7" s="5" t="s">
        <v>10</v>
      </c>
      <c r="B7" s="7">
        <f>(B5*M3)/(J2*-(D2-C2))</f>
        <v>90.4</v>
      </c>
      <c r="C7" s="4"/>
      <c r="D7" s="4"/>
      <c r="E7" s="4"/>
    </row>
    <row r="8">
      <c r="A8" s="4"/>
      <c r="B8" s="4"/>
      <c r="C8" s="4"/>
      <c r="D8" s="4"/>
      <c r="E8" s="4"/>
    </row>
    <row r="9">
      <c r="A9" s="5" t="s">
        <v>11</v>
      </c>
      <c r="B9" s="7">
        <f>((G2-B7)/G2)*100</f>
        <v>24.66666667</v>
      </c>
      <c r="C9" s="5" t="s">
        <v>12</v>
      </c>
      <c r="D9" s="4"/>
      <c r="E9" s="4"/>
    </row>
    <row r="12">
      <c r="A12" s="1" t="s">
        <v>13</v>
      </c>
      <c r="B12" s="1">
        <v>73.06</v>
      </c>
      <c r="C12" s="1">
        <v>76.0</v>
      </c>
    </row>
    <row r="13">
      <c r="A13" s="1" t="s">
        <v>14</v>
      </c>
      <c r="B13" s="1">
        <v>44.7</v>
      </c>
      <c r="C13" s="1">
        <v>46.19</v>
      </c>
    </row>
    <row r="19">
      <c r="A19" s="3">
        <v>0.1423611111111111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0</v>
      </c>
      <c r="C1" s="5" t="s">
        <v>1</v>
      </c>
      <c r="D1" s="5" t="s">
        <v>2</v>
      </c>
      <c r="E1" s="4"/>
      <c r="F1" s="1"/>
      <c r="G1" s="1"/>
      <c r="H1" s="1"/>
    </row>
    <row r="2">
      <c r="A2" s="4"/>
      <c r="B2" s="8">
        <v>25.37</v>
      </c>
      <c r="C2" s="8">
        <f>(25.06+24.81)/2</f>
        <v>24.935</v>
      </c>
      <c r="D2" s="8">
        <f>(24.62+24.87)/2</f>
        <v>24.745</v>
      </c>
      <c r="E2" s="4"/>
      <c r="F2" s="1" t="s">
        <v>3</v>
      </c>
      <c r="G2" s="1">
        <v>120.0</v>
      </c>
      <c r="H2" s="1" t="s">
        <v>4</v>
      </c>
      <c r="I2" s="1" t="s">
        <v>0</v>
      </c>
      <c r="J2" s="2">
        <f>PI()*((15/1000)/2)^2</f>
        <v>0.0001767145868</v>
      </c>
      <c r="K2" s="1" t="s">
        <v>5</v>
      </c>
      <c r="L2" s="1" t="s">
        <v>6</v>
      </c>
      <c r="M2" s="1">
        <v>0.002</v>
      </c>
      <c r="N2" s="1" t="s">
        <v>7</v>
      </c>
    </row>
    <row r="3">
      <c r="A3" s="4"/>
      <c r="B3" s="7">
        <f>C2-B2</f>
        <v>-0.435</v>
      </c>
      <c r="C3" s="4"/>
      <c r="D3" s="7">
        <f>C2-D2</f>
        <v>0.19</v>
      </c>
      <c r="E3" s="4"/>
      <c r="M3" s="1">
        <v>0.001</v>
      </c>
    </row>
    <row r="4">
      <c r="A4" s="5" t="s">
        <v>8</v>
      </c>
      <c r="B4" s="4"/>
      <c r="C4" s="4"/>
      <c r="D4" s="4"/>
      <c r="E4" s="4"/>
    </row>
    <row r="5">
      <c r="A5" s="5" t="s">
        <v>9</v>
      </c>
      <c r="B5" s="7">
        <f>(G2*J2*-(C2-B2))/M2</f>
        <v>4.612250715</v>
      </c>
      <c r="C5" s="4"/>
      <c r="D5" s="4"/>
      <c r="E5" s="4"/>
    </row>
    <row r="6">
      <c r="A6" s="4"/>
      <c r="B6" s="4"/>
      <c r="C6" s="4"/>
      <c r="D6" s="4"/>
      <c r="E6" s="4"/>
    </row>
    <row r="7">
      <c r="A7" s="5" t="s">
        <v>10</v>
      </c>
      <c r="B7" s="7">
        <f>(B5*M3)/(J2*-(D2-C2))</f>
        <v>137.3684211</v>
      </c>
      <c r="C7" s="4"/>
      <c r="D7" s="4"/>
      <c r="E7" s="4"/>
    </row>
    <row r="8">
      <c r="A8" s="4"/>
      <c r="B8" s="4"/>
      <c r="C8" s="4"/>
      <c r="D8" s="4"/>
      <c r="E8" s="4"/>
    </row>
    <row r="9">
      <c r="A9" s="5" t="s">
        <v>11</v>
      </c>
      <c r="B9" s="7">
        <f>((G2-B7)/G2)*100</f>
        <v>-14.47368421</v>
      </c>
      <c r="C9" s="5" t="s">
        <v>12</v>
      </c>
      <c r="D9" s="4"/>
      <c r="E9" s="4"/>
    </row>
    <row r="12">
      <c r="A12" s="1" t="s">
        <v>13</v>
      </c>
      <c r="B12" s="1">
        <v>79.94</v>
      </c>
      <c r="C12" s="1" t="s">
        <v>17</v>
      </c>
    </row>
    <row r="13">
      <c r="A13" s="1" t="s">
        <v>14</v>
      </c>
      <c r="B13" s="1">
        <v>41.06</v>
      </c>
      <c r="C13" s="1">
        <v>43.5</v>
      </c>
    </row>
    <row r="19">
      <c r="A19" s="3">
        <v>0.0625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32CB359BA69489F6C79714204B00E" ma:contentTypeVersion="14" ma:contentTypeDescription="Create a new document." ma:contentTypeScope="" ma:versionID="7ab18044fb5d88f699f2f790d342e0de">
  <xsd:schema xmlns:xsd="http://www.w3.org/2001/XMLSchema" xmlns:xs="http://www.w3.org/2001/XMLSchema" xmlns:p="http://schemas.microsoft.com/office/2006/metadata/properties" xmlns:ns2="804dc4cd-ef2b-4e5c-96d8-e6e32376e6f6" xmlns:ns3="81564390-d73e-4a66-843d-71cd5357285e" targetNamespace="http://schemas.microsoft.com/office/2006/metadata/properties" ma:root="true" ma:fieldsID="17c823f52cdff4deb0e05847c3aa5003" ns2:_="" ns3:_="">
    <xsd:import namespace="804dc4cd-ef2b-4e5c-96d8-e6e32376e6f6"/>
    <xsd:import namespace="81564390-d73e-4a66-843d-71cd535728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dc4cd-ef2b-4e5c-96d8-e6e32376e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370d91-3805-45da-a301-33c56663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64390-d73e-4a66-843d-71cd535728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2b963b-d726-43f5-a1ce-3bcd675bad47}" ma:internalName="TaxCatchAll" ma:showField="CatchAllData" ma:web="81564390-d73e-4a66-843d-71cd535728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564390-d73e-4a66-843d-71cd5357285e" xsi:nil="true"/>
    <lcf76f155ced4ddcb4097134ff3c332f xmlns="804dc4cd-ef2b-4e5c-96d8-e6e32376e6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C7010-04AF-488F-9AD6-51A7853F8546}"/>
</file>

<file path=customXml/itemProps2.xml><?xml version="1.0" encoding="utf-8"?>
<ds:datastoreItem xmlns:ds="http://schemas.openxmlformats.org/officeDocument/2006/customXml" ds:itemID="{AFE118EE-F46B-4E41-BB37-737C2C2F26D4}"/>
</file>

<file path=customXml/itemProps3.xml><?xml version="1.0" encoding="utf-8"?>
<ds:datastoreItem xmlns:ds="http://schemas.openxmlformats.org/officeDocument/2006/customXml" ds:itemID="{886D7C5D-3175-467C-B962-550900BBC12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0x010100FA932CB359BA69489F6C79714204B00E</vt:lpwstr>
  </property>
</Properties>
</file>