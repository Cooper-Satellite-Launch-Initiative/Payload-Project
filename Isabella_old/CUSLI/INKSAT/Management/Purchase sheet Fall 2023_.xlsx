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osed" sheetId="1" r:id="rId4"/>
    <sheet state="visible" name="Final order sheet" sheetId="2" r:id="rId5"/>
    <sheet state="visible" name="Rejected" sheetId="3" r:id="rId6"/>
  </sheets>
  <definedNames>
    <definedName name="Component">Proposed!$A:$A</definedName>
  </definedNames>
  <calcPr/>
</workbook>
</file>

<file path=xl/sharedStrings.xml><?xml version="1.0" encoding="utf-8"?>
<sst xmlns="http://schemas.openxmlformats.org/spreadsheetml/2006/main" count="57" uniqueCount="42">
  <si>
    <t>COMPONENT</t>
  </si>
  <si>
    <t>OPTION</t>
  </si>
  <si>
    <t>LINK</t>
  </si>
  <si>
    <t>LEAD TIME</t>
  </si>
  <si>
    <t>PRICE</t>
  </si>
  <si>
    <t>REASON</t>
  </si>
  <si>
    <t>APPROVAL</t>
  </si>
  <si>
    <t>CAD/MANUAL/FILES</t>
  </si>
  <si>
    <t xml:space="preserve">C-Beam® XLarge Linear Actuator Bundle
</t>
  </si>
  <si>
    <t>1000mm, Silver
NEMA 23 stepper motor included</t>
  </si>
  <si>
    <t>Link</t>
  </si>
  <si>
    <t>1-2 days</t>
  </si>
  <si>
    <t>Linear acuator for radiation test rig</t>
  </si>
  <si>
    <t>PENDING</t>
  </si>
  <si>
    <t>https://grabcad.com/library/c-beam-linear-actuator-250mm-1</t>
  </si>
  <si>
    <t>Vacuum Chamber</t>
  </si>
  <si>
    <t xml:space="preserve"> Benchtop, Acrylic, 7" W x 7" D x 7.5" H ID x 1"Thk, Removable Top Lid</t>
  </si>
  <si>
    <t>1-3 days</t>
  </si>
  <si>
    <t>Vaccum chamber for radiation test rig</t>
  </si>
  <si>
    <t>DISAPPROVED</t>
  </si>
  <si>
    <t xml:space="preserve">waveshare 4.2inch E-Ink Display Module </t>
  </si>
  <si>
    <t>N/A</t>
  </si>
  <si>
    <t>2-3 days</t>
  </si>
  <si>
    <t>E-ink display</t>
  </si>
  <si>
    <t>https://www.waveshare.com/wiki/Pico-ePaper-4.2</t>
  </si>
  <si>
    <t>Kindle 5 LCD</t>
  </si>
  <si>
    <t xml:space="preserve">Raspberry Pi 4 Model B </t>
  </si>
  <si>
    <t>2 GB RAM</t>
  </si>
  <si>
    <t>Computer for test rig</t>
  </si>
  <si>
    <t>NAME</t>
  </si>
  <si>
    <t>QUANTITY</t>
  </si>
  <si>
    <t>UNIT PRICE</t>
  </si>
  <si>
    <t>TOTAL PRICE</t>
  </si>
  <si>
    <t>C-Beam® XLarge Linear Actuator Bundle</t>
  </si>
  <si>
    <r>
      <rPr>
        <rFont val="Verdana"/>
        <b/>
        <color rgb="FFFF0000"/>
      </rPr>
      <t xml:space="preserve">1000mm, Silver
</t>
    </r>
    <r>
      <rPr>
        <rFont val="Verdana"/>
        <color theme="1"/>
      </rPr>
      <t xml:space="preserve">NEMA 23 stepper motor </t>
    </r>
    <r>
      <rPr>
        <rFont val="Verdana"/>
        <b/>
        <color rgb="FFFF0000"/>
      </rPr>
      <t>included</t>
    </r>
  </si>
  <si>
    <t>https://openbuildspartstore.com/c-beam-linear-actuator-bundle/</t>
  </si>
  <si>
    <t>https://a.co/d/gIezscz</t>
  </si>
  <si>
    <t>https://www.ifixit.com/products/kindle-5-lcd</t>
  </si>
  <si>
    <t>https://www.adafruit.com/product/4292</t>
  </si>
  <si>
    <t>TOTAL</t>
  </si>
  <si>
    <t xml:space="preserve">*Possible surcharge on shipping; 
Shiping cost : </t>
  </si>
  <si>
    <t xml:space="preserve">Vacuum Chamber	 Benchtop, Acrylic, 7" W x 7" D x 7.5" H ID x 1"Thk, Removable Top Lid		1-3 days	1237	Vaccum chamber for radiation test rig	DISAPPROVED																				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</si>
</sst>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Verdana"/>
      <scheme val="minor"/>
    </font>
    <font>
      <b/>
      <sz val="16.0"/>
      <color theme="1"/>
      <name val="Verdana"/>
      <scheme val="minor"/>
    </font>
    <font>
      <sz val="12.0"/>
      <color theme="1"/>
      <name val="Verdana"/>
      <scheme val="minor"/>
    </font>
    <font>
      <u/>
      <sz val="12.0"/>
      <color rgb="FF7E7349"/>
    </font>
    <font>
      <u/>
      <color rgb="FF0000FF"/>
    </font>
    <font>
      <color theme="1"/>
      <name val="Verdana"/>
      <scheme val="minor"/>
    </font>
    <font>
      <u/>
      <color rgb="FF0000FF"/>
    </font>
    <font>
      <b/>
      <color theme="1"/>
      <name val="Verdana"/>
      <scheme val="minor"/>
    </font>
    <font>
      <u/>
      <color rgb="FF0000FF"/>
    </font>
    <font>
      <b/>
      <color rgb="FFFF0000"/>
      <name val="Verdana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5" numFmtId="0" xfId="0" applyFont="1"/>
    <xf borderId="0" fillId="0" fontId="9" numFmtId="0" xfId="0" applyAlignment="1" applyFont="1">
      <alignment readingOrder="0"/>
    </xf>
    <xf borderId="2" fillId="0" fontId="7" numFmtId="0" xfId="0" applyAlignment="1" applyBorder="1" applyFont="1">
      <alignment readingOrder="0"/>
    </xf>
    <xf borderId="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buildspartstore.com/c-beam-linear-actuator-bundle/" TargetMode="External"/><Relationship Id="rId2" Type="http://schemas.openxmlformats.org/officeDocument/2006/relationships/hyperlink" Target="https://grabcad.com/library/c-beam-linear-actuator-250mm-1" TargetMode="External"/><Relationship Id="rId3" Type="http://schemas.openxmlformats.org/officeDocument/2006/relationships/hyperlink" Target="https://www.amazon.com/4-2inch-Module-Communicating-Resolution-Controller/dp/B074NR1SW2/ref=asc_df_B074NR1SW2/?tag=hyprod-20&amp;linkCode=df0&amp;hvadid=563598683736&amp;hvpos=&amp;hvnetw=g&amp;hvrand=14846999310433265635&amp;hvpone=&amp;hvptwo=&amp;hvqmt=&amp;hvdev=c&amp;hvdvcmdl=&amp;hvlocint=&amp;hvlocphy=9003654&amp;hvtargid=pla-454681090514&amp;psc=1&amp;mcid=8db88dd1e8113c6c837bc5ff3a699582&amp;gclid=Cj0KCQiAjMKqBhCgARIsAPDgWlzO6PenN6HNHctJjyiec3EDNb_VcbuHIBjM91mVDYNiBmLOkTwTyr0aAp0mEALw_wcB" TargetMode="External"/><Relationship Id="rId4" Type="http://schemas.openxmlformats.org/officeDocument/2006/relationships/hyperlink" Target="https://www.waveshare.com/wiki/Pico-ePaper-4.2" TargetMode="External"/><Relationship Id="rId5" Type="http://schemas.openxmlformats.org/officeDocument/2006/relationships/hyperlink" Target="https://www.ifixit.com/products/kindle-5-lcd" TargetMode="External"/><Relationship Id="rId6" Type="http://schemas.openxmlformats.org/officeDocument/2006/relationships/hyperlink" Target="https://www.adafruit.com/product/4292?gad_source=1&amp;gclid=Cj0KCQiAjMKqBhCgARIsAPDgWlyzMG7MXoCc7vcHViIF1oWYYnCjDO7NWTM0Lp42WSB5DLCukN-6GWUaAsTHEALw_wcB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buildspartstore.com/c-beam-linear-actuator-bundle/" TargetMode="External"/><Relationship Id="rId2" Type="http://schemas.openxmlformats.org/officeDocument/2006/relationships/hyperlink" Target="https://a.co/d/gIezscz" TargetMode="External"/><Relationship Id="rId3" Type="http://schemas.openxmlformats.org/officeDocument/2006/relationships/hyperlink" Target="https://www.ifixit.com/products/kindle-5-lcd" TargetMode="External"/><Relationship Id="rId4" Type="http://schemas.openxmlformats.org/officeDocument/2006/relationships/hyperlink" Target="https://www.adafruit.com/product/4292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54.22"/>
    <col customWidth="1" min="2" max="2" width="66.33"/>
    <col customWidth="1" min="3" max="4" width="22.67"/>
    <col customWidth="1" min="6" max="6" width="44.22"/>
    <col customWidth="1" min="7" max="7" width="17.22"/>
    <col customWidth="1" min="8" max="8" width="52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2" t="s">
        <v>11</v>
      </c>
      <c r="E2" s="2">
        <v>223.99</v>
      </c>
      <c r="F2" s="2" t="s">
        <v>12</v>
      </c>
      <c r="G2" s="2" t="s">
        <v>13</v>
      </c>
      <c r="H2" s="4" t="s">
        <v>14</v>
      </c>
    </row>
    <row r="3">
      <c r="A3" s="2" t="s">
        <v>15</v>
      </c>
      <c r="B3" s="2" t="s">
        <v>16</v>
      </c>
      <c r="C3" s="2"/>
      <c r="D3" s="2" t="s">
        <v>17</v>
      </c>
      <c r="E3" s="2">
        <v>1237.0</v>
      </c>
      <c r="F3" s="2" t="s">
        <v>18</v>
      </c>
      <c r="G3" s="2" t="s">
        <v>19</v>
      </c>
    </row>
    <row r="4">
      <c r="A4" s="2" t="s">
        <v>20</v>
      </c>
      <c r="B4" s="5" t="s">
        <v>21</v>
      </c>
      <c r="C4" s="6" t="s">
        <v>10</v>
      </c>
      <c r="D4" s="2" t="s">
        <v>22</v>
      </c>
      <c r="E4" s="2">
        <v>34.99</v>
      </c>
      <c r="F4" s="2" t="s">
        <v>23</v>
      </c>
      <c r="G4" s="2" t="s">
        <v>13</v>
      </c>
      <c r="H4" s="4" t="s">
        <v>24</v>
      </c>
    </row>
    <row r="5">
      <c r="A5" s="2" t="s">
        <v>25</v>
      </c>
      <c r="B5" s="5" t="s">
        <v>21</v>
      </c>
      <c r="C5" s="6" t="s">
        <v>10</v>
      </c>
      <c r="D5" s="2" t="s">
        <v>17</v>
      </c>
      <c r="E5" s="2">
        <v>39.99</v>
      </c>
      <c r="F5" s="2" t="s">
        <v>23</v>
      </c>
      <c r="G5" s="2" t="s">
        <v>13</v>
      </c>
    </row>
    <row r="6">
      <c r="A6" s="2" t="s">
        <v>26</v>
      </c>
      <c r="B6" s="5" t="s">
        <v>27</v>
      </c>
      <c r="C6" s="6" t="s">
        <v>10</v>
      </c>
      <c r="E6" s="2">
        <v>45.0</v>
      </c>
      <c r="F6" s="2" t="s">
        <v>28</v>
      </c>
      <c r="G6" s="2" t="s">
        <v>13</v>
      </c>
    </row>
    <row r="7">
      <c r="C7" s="7"/>
      <c r="E7" s="2"/>
      <c r="F7" s="2"/>
      <c r="G7" s="2"/>
    </row>
    <row r="8">
      <c r="C8" s="7"/>
      <c r="E8" s="2"/>
      <c r="F8" s="2"/>
      <c r="G8" s="2"/>
    </row>
    <row r="9">
      <c r="C9" s="7"/>
      <c r="E9" s="2"/>
      <c r="F9" s="2"/>
    </row>
    <row r="10">
      <c r="C10" s="7"/>
      <c r="F10" s="2"/>
    </row>
    <row r="11">
      <c r="C11" s="7"/>
      <c r="F11" s="2"/>
    </row>
    <row r="12">
      <c r="C12" s="7"/>
    </row>
    <row r="13">
      <c r="C13" s="7"/>
    </row>
    <row r="14">
      <c r="C14" s="7"/>
    </row>
    <row r="15">
      <c r="C15" s="7"/>
    </row>
    <row r="16">
      <c r="C16" s="7"/>
    </row>
    <row r="17">
      <c r="C17" s="7"/>
    </row>
    <row r="18">
      <c r="C18" s="7"/>
    </row>
    <row r="19">
      <c r="C19" s="7"/>
    </row>
    <row r="20">
      <c r="C20" s="7"/>
    </row>
    <row r="21">
      <c r="C21" s="7"/>
    </row>
    <row r="22">
      <c r="C22" s="7"/>
    </row>
    <row r="23">
      <c r="C23" s="7"/>
    </row>
    <row r="24">
      <c r="C24" s="7"/>
    </row>
    <row r="25">
      <c r="C25" s="7"/>
    </row>
    <row r="26">
      <c r="C26" s="7"/>
    </row>
    <row r="27">
      <c r="C27" s="7"/>
    </row>
    <row r="28">
      <c r="C28" s="7"/>
    </row>
    <row r="29">
      <c r="C29" s="7"/>
    </row>
    <row r="30">
      <c r="C30" s="7"/>
    </row>
    <row r="31">
      <c r="C31" s="7"/>
    </row>
    <row r="32">
      <c r="C32" s="7"/>
    </row>
    <row r="33">
      <c r="C33" s="7"/>
    </row>
    <row r="34">
      <c r="C34" s="7"/>
    </row>
    <row r="35">
      <c r="C35" s="7"/>
    </row>
    <row r="36">
      <c r="C36" s="7"/>
    </row>
    <row r="37">
      <c r="C37" s="7"/>
    </row>
    <row r="38">
      <c r="C38" s="7"/>
    </row>
    <row r="39">
      <c r="C39" s="7"/>
    </row>
    <row r="40">
      <c r="C40" s="7"/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hyperlinks>
    <hyperlink r:id="rId1" ref="C2"/>
    <hyperlink r:id="rId2" ref="H2"/>
    <hyperlink r:id="rId3" ref="C4"/>
    <hyperlink r:id="rId4" ref="H4"/>
    <hyperlink r:id="rId5" ref="C5"/>
    <hyperlink r:id="rId6" ref="C6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2.44"/>
    <col customWidth="1" min="2" max="2" width="27.33"/>
    <col customWidth="1" min="3" max="3" width="52.56"/>
    <col customWidth="1" min="6" max="6" width="13.67"/>
  </cols>
  <sheetData>
    <row r="1">
      <c r="A1" s="8" t="s">
        <v>29</v>
      </c>
      <c r="B1" s="9" t="s">
        <v>1</v>
      </c>
      <c r="C1" s="8" t="s">
        <v>2</v>
      </c>
      <c r="D1" s="8" t="s">
        <v>30</v>
      </c>
      <c r="E1" s="8" t="s">
        <v>31</v>
      </c>
      <c r="F1" s="8" t="s">
        <v>32</v>
      </c>
    </row>
    <row r="2">
      <c r="A2" s="5" t="s">
        <v>33</v>
      </c>
      <c r="B2" s="5" t="s">
        <v>34</v>
      </c>
      <c r="C2" s="10" t="s">
        <v>35</v>
      </c>
      <c r="D2" s="5">
        <v>2.0</v>
      </c>
      <c r="E2" s="5">
        <v>199.99</v>
      </c>
      <c r="F2" s="11">
        <f t="shared" ref="F2:F5" si="1">E2*D2</f>
        <v>399.98</v>
      </c>
    </row>
    <row r="3">
      <c r="A3" s="5" t="s">
        <v>20</v>
      </c>
      <c r="C3" s="10" t="s">
        <v>36</v>
      </c>
      <c r="D3" s="5">
        <v>3.0</v>
      </c>
      <c r="E3" s="5">
        <v>34.99</v>
      </c>
      <c r="F3" s="11">
        <f t="shared" si="1"/>
        <v>104.97</v>
      </c>
    </row>
    <row r="4">
      <c r="A4" s="5" t="s">
        <v>25</v>
      </c>
      <c r="B4" s="5"/>
      <c r="C4" s="10" t="s">
        <v>37</v>
      </c>
      <c r="D4" s="5">
        <v>2.0</v>
      </c>
      <c r="E4" s="5">
        <v>39.99</v>
      </c>
      <c r="F4" s="11">
        <f t="shared" si="1"/>
        <v>79.98</v>
      </c>
    </row>
    <row r="5">
      <c r="A5" s="5" t="s">
        <v>26</v>
      </c>
      <c r="B5" s="12" t="s">
        <v>27</v>
      </c>
      <c r="C5" s="10" t="s">
        <v>38</v>
      </c>
      <c r="D5" s="5">
        <v>2.0</v>
      </c>
      <c r="E5" s="5">
        <v>45.0</v>
      </c>
      <c r="F5" s="11">
        <f t="shared" si="1"/>
        <v>90</v>
      </c>
    </row>
    <row r="6">
      <c r="A6" s="5"/>
      <c r="B6" s="5"/>
      <c r="E6" s="13" t="s">
        <v>39</v>
      </c>
      <c r="F6" s="14">
        <f>SUM(F2:F5)</f>
        <v>674.93</v>
      </c>
    </row>
    <row r="7">
      <c r="A7" s="5"/>
      <c r="B7" s="5"/>
      <c r="E7" s="5" t="s">
        <v>40</v>
      </c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</row>
    <row r="12">
      <c r="A12" s="5"/>
    </row>
    <row r="13">
      <c r="A13" s="5"/>
    </row>
    <row r="14">
      <c r="A14" s="5"/>
    </row>
  </sheetData>
  <mergeCells count="1">
    <mergeCell ref="E7:F7"/>
  </mergeCells>
  <hyperlinks>
    <hyperlink r:id="rId1" ref="C2"/>
    <hyperlink r:id="rId2" ref="C3"/>
    <hyperlink r:id="rId3" ref="C4"/>
    <hyperlink r:id="rId4" ref="C5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5" t="s">
        <v>41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932CB359BA69489F6C79714204B00E" ma:contentTypeVersion="14" ma:contentTypeDescription="Create a new document." ma:contentTypeScope="" ma:versionID="7ab18044fb5d88f699f2f790d342e0de">
  <xsd:schema xmlns:xsd="http://www.w3.org/2001/XMLSchema" xmlns:xs="http://www.w3.org/2001/XMLSchema" xmlns:p="http://schemas.microsoft.com/office/2006/metadata/properties" xmlns:ns2="804dc4cd-ef2b-4e5c-96d8-e6e32376e6f6" xmlns:ns3="81564390-d73e-4a66-843d-71cd5357285e" targetNamespace="http://schemas.microsoft.com/office/2006/metadata/properties" ma:root="true" ma:fieldsID="17c823f52cdff4deb0e05847c3aa5003" ns2:_="" ns3:_="">
    <xsd:import namespace="804dc4cd-ef2b-4e5c-96d8-e6e32376e6f6"/>
    <xsd:import namespace="81564390-d73e-4a66-843d-71cd535728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dc4cd-ef2b-4e5c-96d8-e6e32376e6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370d91-3805-45da-a301-33c5666320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64390-d73e-4a66-843d-71cd535728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2b963b-d726-43f5-a1ce-3bcd675bad47}" ma:internalName="TaxCatchAll" ma:showField="CatchAllData" ma:web="81564390-d73e-4a66-843d-71cd535728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564390-d73e-4a66-843d-71cd5357285e" xsi:nil="true"/>
    <lcf76f155ced4ddcb4097134ff3c332f xmlns="804dc4cd-ef2b-4e5c-96d8-e6e32376e6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57110D-F1A4-44E0-96C4-5D9681156FB6}"/>
</file>

<file path=customXml/itemProps2.xml><?xml version="1.0" encoding="utf-8"?>
<ds:datastoreItem xmlns:ds="http://schemas.openxmlformats.org/officeDocument/2006/customXml" ds:itemID="{CFE2ADA3-C56F-44E0-AF82-AB2AA346E98C}"/>
</file>

<file path=customXml/itemProps3.xml><?xml version="1.0" encoding="utf-8"?>
<ds:datastoreItem xmlns:ds="http://schemas.openxmlformats.org/officeDocument/2006/customXml" ds:itemID="{217D9F5B-69F2-4144-A296-0FF510D0DCB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0x010100FA932CB359BA69489F6C79714204B00E</vt:lpwstr>
  </property>
</Properties>
</file>