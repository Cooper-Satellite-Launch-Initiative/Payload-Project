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ized Budget for SP25 term" sheetId="1" r:id="rId4"/>
    <sheet state="visible" name="Purchase List" sheetId="2" r:id="rId5"/>
  </sheets>
  <definedNames/>
  <calcPr/>
</workbook>
</file>

<file path=xl/sharedStrings.xml><?xml version="1.0" encoding="utf-8"?>
<sst xmlns="http://schemas.openxmlformats.org/spreadsheetml/2006/main" count="95" uniqueCount="71">
  <si>
    <t>Item</t>
  </si>
  <si>
    <t>Quantity</t>
  </si>
  <si>
    <t>Unit Cost</t>
  </si>
  <si>
    <t>Total Cost</t>
  </si>
  <si>
    <t>Purpose</t>
  </si>
  <si>
    <t>Link</t>
  </si>
  <si>
    <t>Notes</t>
  </si>
  <si>
    <t>Custom made PCB for RF hardware</t>
  </si>
  <si>
    <t>Impedance matched PCB for best possible transmissions</t>
  </si>
  <si>
    <r>
      <rPr>
        <rFont val="Times New Roman"/>
        <sz val="12.0"/>
      </rPr>
      <t xml:space="preserve">Estimated through </t>
    </r>
    <r>
      <rPr>
        <rFont val="Times New Roman"/>
        <color rgb="FF1155CC"/>
        <sz val="12.0"/>
        <u/>
      </rPr>
      <t>jlcpcb.com</t>
    </r>
  </si>
  <si>
    <t>Total Cost is an estimate, as PCB has not yet been designed</t>
  </si>
  <si>
    <t>Filters and Amplifiers for payload RF hardware</t>
  </si>
  <si>
    <t>20-50</t>
  </si>
  <si>
    <t>Cleanly amplifying signals for long-distance communication</t>
  </si>
  <si>
    <t>minicircuits.com</t>
  </si>
  <si>
    <t>Total Cost is an estimate, as the cost of these filters range from $20-$50. Based off of devices made by minicircuits in the 430 MHz operating range.</t>
  </si>
  <si>
    <t>Filters and Amplifiers for Ground Station RF hardware</t>
  </si>
  <si>
    <t>50-100</t>
  </si>
  <si>
    <t>Total Cost is an estimate, as the cost of these filters range from $50-$100. Based off of devices made by minicircuits in the 430 MHz operating range.</t>
  </si>
  <si>
    <t>K type Soldered Tip Thermocouples</t>
  </si>
  <si>
    <t xml:space="preserve">For use in the experiment and (eventaully) payload. Measures internal temperatures of a material. </t>
  </si>
  <si>
    <t>https://www.adafruit.com/product/3245</t>
  </si>
  <si>
    <t>Used for both educational purposes and on satellite</t>
  </si>
  <si>
    <t>Thermocouple Amplifiers</t>
  </si>
  <si>
    <t>For use in the experiment and (eventaully) payload. Works with the thermocouples.</t>
  </si>
  <si>
    <t>https://www.adafruit.com/product/269</t>
  </si>
  <si>
    <t xml:space="preserve"> </t>
  </si>
  <si>
    <t>Raspberry Pi</t>
  </si>
  <si>
    <t>Interfacing with thermocouple circuit. Interfacing with sensors for attitude determination system. In house teaching about code + circuitry.</t>
  </si>
  <si>
    <t>https://www.adafruit.com/product/4295?gad_source=1&amp;gclid=Cj0KCQiAr7C6BhDRARIsAOUKifjX57_vvWtKKCSg2-VBxc5S7j5P50XG3mQgXPCl3ZhlLaGlHMaAekkaAij8EALw_wcB</t>
  </si>
  <si>
    <t>For use by the Payload team, Communications team, and ADCS team</t>
  </si>
  <si>
    <t>18x24, 1/4" acrylic sheet</t>
  </si>
  <si>
    <t>For use in designing encasements for the components of the ADCS and Payload teams</t>
  </si>
  <si>
    <t>https://www.canalplastic.com/products/clear-colorless-acrylic-sheet?variant=32920772366</t>
  </si>
  <si>
    <t>18x24, 1/8" acrylic sheet</t>
  </si>
  <si>
    <t>https://www.canalplastic.com/products/clear-colorless-acrylic-sheet?variant=32920772174</t>
  </si>
  <si>
    <t>Total</t>
  </si>
  <si>
    <t>-</t>
  </si>
  <si>
    <t xml:space="preserve">Invoice </t>
  </si>
  <si>
    <t>Updates to Item</t>
  </si>
  <si>
    <t>Column 1</t>
  </si>
  <si>
    <t xml:space="preserve">T Type Thermocouples, Surface </t>
  </si>
  <si>
    <t>McMasterCarr Invoice #1</t>
  </si>
  <si>
    <t>Originally requested K type, switched to T type for lower error</t>
  </si>
  <si>
    <t>T Type Thermocouples Wire (10ft)-Stranded</t>
  </si>
  <si>
    <t>stranded vs solid for educational purposes, understanding differences, potentially soldering tips</t>
  </si>
  <si>
    <t>T Type Thermocouples Wire (10ft) Solid</t>
  </si>
  <si>
    <t>^^</t>
  </si>
  <si>
    <t>TAX/SHIPPING</t>
  </si>
  <si>
    <t>MCP3008 - 8-Channel 10-Bit ADC With SPI Interface</t>
  </si>
  <si>
    <t>Digikey Invoice #1</t>
  </si>
  <si>
    <t>COAX CBL SMA TO SMA 7.8"</t>
  </si>
  <si>
    <t>Digikey Invoice #2</t>
  </si>
  <si>
    <t>IC REG LIN POS ADJ 200MA SOT-6</t>
  </si>
  <si>
    <t>CONN USB 3.2 GEN 1 TYPE-A DIP</t>
  </si>
  <si>
    <t>PI SD Card</t>
  </si>
  <si>
    <t xml:space="preserve">Amazon Invoice </t>
  </si>
  <si>
    <t>Multi-Frequency RF Receiver Modules</t>
  </si>
  <si>
    <t>PTFE 1.5" Rod 1' Length</t>
  </si>
  <si>
    <t>McMasterCarr Invoice #2</t>
  </si>
  <si>
    <t>Not originally included, added to prevent heat loss to ambient within experiment</t>
  </si>
  <si>
    <t>SDcard</t>
  </si>
  <si>
    <t>Comms Chips</t>
  </si>
  <si>
    <t>Wideband RF Choke</t>
  </si>
  <si>
    <t>Custom PCB</t>
  </si>
  <si>
    <t>Allocated</t>
  </si>
  <si>
    <t>Used</t>
  </si>
  <si>
    <t>Remaining</t>
  </si>
  <si>
    <t>Comms</t>
  </si>
  <si>
    <t xml:space="preserve">Payload </t>
  </si>
  <si>
    <t>ADCS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</si>
</sst>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434343"/>
      <name val="Times New Roman"/>
    </font>
    <font>
      <sz val="12.0"/>
      <color rgb="FF000000"/>
      <name val="Times New Roman"/>
    </font>
    <font>
      <sz val="12.0"/>
      <color rgb="FF000000"/>
      <name val="&quot;Times New Roman&quot;"/>
    </font>
    <font>
      <color theme="1"/>
      <name val="Arial"/>
      <scheme val="minor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b/>
      <sz val="12.0"/>
      <color rgb="FFF8F9FA"/>
      <name val="Times New Roman"/>
    </font>
    <font>
      <sz val="12.0"/>
      <color rgb="FFF8F9FA"/>
      <name val="Times New Roman"/>
    </font>
    <font>
      <b/>
      <sz val="12.0"/>
      <color theme="1"/>
      <name val="Times New Roman"/>
    </font>
    <font>
      <b/>
      <sz val="12.0"/>
      <color rgb="FF000000"/>
      <name val="&quot;Times New Roman&quot;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356854"/>
        <bgColor rgb="FF356854"/>
      </patternFill>
    </fill>
    <fill>
      <patternFill patternType="solid">
        <fgColor rgb="FFC9DAF8"/>
        <bgColor rgb="FFC9DAF8"/>
      </patternFill>
    </fill>
  </fills>
  <borders count="3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EAD1DC"/>
      </right>
      <top style="thin">
        <color rgb="FFEAD1DC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000000"/>
      </bottom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EAD1DC"/>
      </right>
      <top style="thin">
        <color rgb="FFEAD1DC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356854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356854"/>
      </top>
      <bottom style="thin">
        <color rgb="FF284E3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4" fillId="0" fontId="2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right"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right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3" fillId="0" fontId="1" numFmtId="0" xfId="0" applyAlignment="1" applyBorder="1" applyFont="1">
      <alignment horizontal="left" readingOrder="0" shrinkToFit="0" vertical="center" wrapText="0"/>
    </xf>
    <xf borderId="13" fillId="0" fontId="2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1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16" fillId="0" fontId="2" numFmtId="0" xfId="0" applyAlignment="1" applyBorder="1" applyFont="1">
      <alignment readingOrder="0" shrinkToFit="0" vertical="center" wrapText="1"/>
    </xf>
    <xf borderId="17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18" fillId="0" fontId="2" numFmtId="0" xfId="0" applyAlignment="1" applyBorder="1" applyFont="1">
      <alignment readingOrder="0" shrinkToFit="0" vertical="center" wrapText="1"/>
    </xf>
    <xf borderId="19" fillId="0" fontId="1" numFmtId="0" xfId="0" applyAlignment="1" applyBorder="1" applyFont="1">
      <alignment readingOrder="0" shrinkToFit="0" vertical="center" wrapText="1"/>
    </xf>
    <xf borderId="20" fillId="2" fontId="2" numFmtId="0" xfId="0" applyAlignment="1" applyBorder="1" applyFill="1" applyFont="1">
      <alignment readingOrder="0" shrinkToFit="0" vertical="center" wrapText="1"/>
    </xf>
    <xf borderId="21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horizontal="right" readingOrder="0" shrinkToFit="0" vertical="center" wrapText="0"/>
    </xf>
    <xf borderId="21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readingOrder="0" shrinkToFit="0" vertical="center" wrapText="1"/>
    </xf>
    <xf borderId="22" fillId="0" fontId="1" numFmtId="0" xfId="0" applyAlignment="1" applyBorder="1" applyFont="1">
      <alignment readingOrder="0" shrinkToFit="0" vertical="center" wrapText="1"/>
    </xf>
    <xf borderId="5" fillId="0" fontId="12" numFmtId="0" xfId="0" applyAlignment="1" applyBorder="1" applyFont="1">
      <alignment readingOrder="0" shrinkToFit="0" vertical="center" wrapText="1"/>
    </xf>
    <xf borderId="23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readingOrder="0" shrinkToFit="0" vertical="center" wrapText="1"/>
    </xf>
    <xf borderId="24" fillId="0" fontId="1" numFmtId="0" xfId="0" applyAlignment="1" applyBorder="1" applyFont="1">
      <alignment readingOrder="0" shrinkToFit="0" vertical="center" wrapText="1"/>
    </xf>
    <xf borderId="8" fillId="0" fontId="13" numFmtId="0" xfId="0" applyAlignment="1" applyBorder="1" applyFont="1">
      <alignment readingOrder="0" shrinkToFit="0" vertical="center" wrapText="1"/>
    </xf>
    <xf borderId="23" fillId="0" fontId="1" numFmtId="0" xfId="0" applyAlignment="1" applyBorder="1" applyFont="1">
      <alignment readingOrder="0" shrinkToFit="0" vertical="center" wrapText="0"/>
    </xf>
    <xf borderId="23" fillId="0" fontId="10" numFmtId="0" xfId="0" applyAlignment="1" applyBorder="1" applyFont="1">
      <alignment shrinkToFit="0" vertical="center" wrapText="0"/>
    </xf>
    <xf borderId="25" fillId="0" fontId="2" numFmtId="0" xfId="0" applyAlignment="1" applyBorder="1" applyFont="1">
      <alignment readingOrder="0" shrinkToFit="0" vertical="center" wrapText="1"/>
    </xf>
    <xf borderId="26" fillId="0" fontId="1" numFmtId="0" xfId="0" applyAlignment="1" applyBorder="1" applyFont="1">
      <alignment readingOrder="0" shrinkToFit="0" vertical="center" wrapText="0"/>
    </xf>
    <xf borderId="26" fillId="0" fontId="1" numFmtId="0" xfId="0" applyAlignment="1" applyBorder="1" applyFont="1">
      <alignment readingOrder="0" shrinkToFit="0" vertical="center" wrapText="0"/>
    </xf>
    <xf borderId="26" fillId="0" fontId="10" numFmtId="0" xfId="0" applyAlignment="1" applyBorder="1" applyFont="1">
      <alignment shrinkToFit="0" vertical="center" wrapText="0"/>
    </xf>
    <xf borderId="27" fillId="0" fontId="1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1"/>
    </xf>
    <xf borderId="28" fillId="2" fontId="2" numFmtId="0" xfId="0" applyAlignment="1" applyBorder="1" applyFont="1">
      <alignment readingOrder="0" shrinkToFit="0" vertical="center" wrapText="1"/>
    </xf>
    <xf borderId="21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1"/>
    </xf>
    <xf borderId="29" fillId="3" fontId="14" numFmtId="0" xfId="0" applyAlignment="1" applyBorder="1" applyFill="1" applyFont="1">
      <alignment readingOrder="0" shrinkToFit="0" vertical="center" wrapText="1"/>
    </xf>
    <xf borderId="30" fillId="3" fontId="15" numFmtId="0" xfId="0" applyAlignment="1" applyBorder="1" applyFont="1">
      <alignment readingOrder="0" shrinkToFit="0" vertical="center" wrapText="0"/>
    </xf>
    <xf borderId="30" fillId="3" fontId="15" numFmtId="0" xfId="0" applyAlignment="1" applyBorder="1" applyFont="1">
      <alignment shrinkToFit="0" vertical="center" wrapText="0"/>
    </xf>
    <xf borderId="30" fillId="3" fontId="15" numFmtId="0" xfId="0" applyAlignment="1" applyBorder="1" applyFont="1">
      <alignment shrinkToFit="0" vertical="center" wrapText="0"/>
    </xf>
    <xf borderId="30" fillId="3" fontId="15" numFmtId="0" xfId="0" applyAlignment="1" applyBorder="1" applyFont="1">
      <alignment shrinkToFit="0" vertical="center" wrapText="1"/>
    </xf>
    <xf borderId="12" fillId="3" fontId="15" numFmtId="0" xfId="0" applyAlignment="1" applyBorder="1" applyFont="1">
      <alignment shrinkToFit="0" vertical="center" wrapText="1"/>
    </xf>
    <xf borderId="0" fillId="0" fontId="1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Fill="1" applyFont="1"/>
    <xf borderId="0" fillId="4" fontId="1" numFmtId="0" xfId="0" applyFont="1"/>
    <xf borderId="0" fillId="0" fontId="17" numFmtId="0" xfId="0" applyAlignment="1" applyFont="1">
      <alignment readingOrder="0"/>
    </xf>
    <xf borderId="0" fillId="0" fontId="18" numFmtId="0" xfId="0" applyFont="1"/>
    <xf borderId="0" fillId="0" fontId="16" numFmtId="0" xfId="0" applyAlignment="1" applyFont="1">
      <alignment readingOrder="0"/>
    </xf>
    <xf borderId="0" fillId="4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Itemized Budget for SP25 term-style">
      <tableStyleElement dxfId="1" type="headerRow"/>
      <tableStyleElement dxfId="2" type="firstRowStripe"/>
      <tableStyleElement dxfId="3" type="secondRowStripe"/>
    </tableStyle>
    <tableStyle count="3" pivot="0" name="Purchase 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161925</xdr:colOff>
      <xdr:row>8</xdr:row>
      <xdr:rowOff>381000</xdr:rowOff>
    </xdr:from>
    <xdr:ext cx="2867025" cy="1857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G10" displayName="Itemized_Budget_for_SP25_term" name="Itemized_Budget_for_SP25_term" id="1">
  <tableColumns count="7">
    <tableColumn name="Item" id="1"/>
    <tableColumn name="Quantity" id="2"/>
    <tableColumn name="Unit Cost" id="3"/>
    <tableColumn name="Total Cost" id="4"/>
    <tableColumn name="Purpose" id="5"/>
    <tableColumn name="Link" id="6"/>
    <tableColumn name="Notes" id="7"/>
  </tableColumns>
  <tableStyleInfo name="Itemized Budget for SP25 term-style" showColumnStripes="0" showFirstColumn="1" showLastColumn="1" showRowStripes="1"/>
</table>
</file>

<file path=xl/tables/table2.xml><?xml version="1.0" encoding="utf-8"?>
<table xmlns="http://schemas.openxmlformats.org/spreadsheetml/2006/main" ref="A1:G28" displayName="Itemized_Budget_for_SP25_term_2" name="Itemized_Budget_for_SP25_term_2" id="2">
  <tableColumns count="7">
    <tableColumn name="Item" id="1"/>
    <tableColumn name="Quantity" id="2"/>
    <tableColumn name="Unit Cost" id="3"/>
    <tableColumn name="Total Cost" id="4"/>
    <tableColumn name="Invoice " id="5"/>
    <tableColumn name="Updates to Item" id="6"/>
    <tableColumn name="Column 1" id="7"/>
  </tableColumns>
  <tableStyleInfo name="Purchase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lcpcb.com/" TargetMode="External"/><Relationship Id="rId2" Type="http://schemas.openxmlformats.org/officeDocument/2006/relationships/hyperlink" Target="http://minicircuits.com/" TargetMode="External"/><Relationship Id="rId3" Type="http://schemas.openxmlformats.org/officeDocument/2006/relationships/hyperlink" Target="http://minicircuits.com/" TargetMode="External"/><Relationship Id="rId4" Type="http://schemas.openxmlformats.org/officeDocument/2006/relationships/hyperlink" Target="https://www.adafruit.com/product/3245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adafruit.com/product/269" TargetMode="External"/><Relationship Id="rId6" Type="http://schemas.openxmlformats.org/officeDocument/2006/relationships/hyperlink" Target="https://www.adafruit.com/product/4295?gad_source=1&amp;gclid=Cj0KCQiAr7C6BhDRARIsAOUKifjX57_vvWtKKCSg2-VBxc5S7j5P50XG3mQgXPCl3ZhlLaGlHMaAekkaAij8EALw_wcB" TargetMode="External"/><Relationship Id="rId7" Type="http://schemas.openxmlformats.org/officeDocument/2006/relationships/hyperlink" Target="https://www.canalplastic.com/products/clear-colorless-acrylic-sheet?variant=32920772366" TargetMode="External"/><Relationship Id="rId8" Type="http://schemas.openxmlformats.org/officeDocument/2006/relationships/hyperlink" Target="https://www.canalplastic.com/products/clear-colorless-acrylic-sheet?variant=3292077217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azUBCISAICRGiibMQcTNBU_PsqBB8NK/view?usp=sharing" TargetMode="External"/><Relationship Id="rId2" Type="http://schemas.openxmlformats.org/officeDocument/2006/relationships/hyperlink" Target="https://drive.google.com/file/d/1TmrPO5pIOm5oAacj20ZV1NCw6dMNh04x/view?usp=sharing" TargetMode="External"/><Relationship Id="rId3" Type="http://schemas.openxmlformats.org/officeDocument/2006/relationships/hyperlink" Target="https://drive.google.com/file/d/17Ljrz8EF3XOiGFIga66BjLNIKhXLUOFZ/view?usp=sharing" TargetMode="External"/><Relationship Id="rId4" Type="http://schemas.openxmlformats.org/officeDocument/2006/relationships/hyperlink" Target="https://drive.google.com/file/d/1fEQMsiryaxHDIki59tQ-BOiOtM9ed-_I/view?usp=sharing" TargetMode="External"/><Relationship Id="rId5" Type="http://schemas.openxmlformats.org/officeDocument/2006/relationships/hyperlink" Target="https://drive.google.com/file/d/1SqbR0l2xMEyvCfgNLJOwx7WZC2StEf14/view?usp=sharing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3" max="3" width="13.25"/>
    <col customWidth="1" min="4" max="4" width="17.0"/>
    <col customWidth="1" min="5" max="5" width="34.63"/>
    <col customWidth="1" min="6" max="7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</row>
    <row r="2">
      <c r="A2" s="5" t="s">
        <v>7</v>
      </c>
      <c r="B2" s="6">
        <v>5.0</v>
      </c>
      <c r="C2" s="6">
        <v>36.0</v>
      </c>
      <c r="D2" s="7">
        <f>B2*C2</f>
        <v>180</v>
      </c>
      <c r="E2" s="8" t="s">
        <v>8</v>
      </c>
      <c r="F2" s="9" t="s">
        <v>9</v>
      </c>
      <c r="G2" s="10" t="s">
        <v>10</v>
      </c>
      <c r="H2" s="4"/>
      <c r="I2" s="4"/>
      <c r="J2" s="4"/>
      <c r="K2" s="4"/>
    </row>
    <row r="3">
      <c r="A3" s="11" t="s">
        <v>11</v>
      </c>
      <c r="B3" s="12">
        <v>4.0</v>
      </c>
      <c r="C3" s="13" t="s">
        <v>12</v>
      </c>
      <c r="D3" s="14">
        <v>140.0</v>
      </c>
      <c r="E3" s="15" t="s">
        <v>13</v>
      </c>
      <c r="F3" s="16" t="s">
        <v>14</v>
      </c>
      <c r="G3" s="17" t="s">
        <v>15</v>
      </c>
      <c r="H3" s="4"/>
      <c r="I3" s="4"/>
      <c r="J3" s="4"/>
      <c r="K3" s="4"/>
    </row>
    <row r="4">
      <c r="A4" s="5" t="s">
        <v>16</v>
      </c>
      <c r="B4" s="6">
        <v>4.0</v>
      </c>
      <c r="C4" s="18" t="s">
        <v>17</v>
      </c>
      <c r="D4" s="19">
        <v>300.0</v>
      </c>
      <c r="E4" s="8" t="s">
        <v>13</v>
      </c>
      <c r="F4" s="9" t="s">
        <v>14</v>
      </c>
      <c r="G4" s="10" t="s">
        <v>18</v>
      </c>
      <c r="H4" s="4"/>
      <c r="I4" s="4"/>
      <c r="J4" s="4"/>
      <c r="K4" s="4"/>
    </row>
    <row r="5">
      <c r="A5" s="11" t="s">
        <v>19</v>
      </c>
      <c r="B5" s="12">
        <v>10.0</v>
      </c>
      <c r="C5" s="12">
        <v>8.96</v>
      </c>
      <c r="D5" s="20">
        <f t="shared" ref="D5:D9" si="1">B5*C5</f>
        <v>89.6</v>
      </c>
      <c r="E5" s="15" t="s">
        <v>20</v>
      </c>
      <c r="F5" s="21" t="s">
        <v>21</v>
      </c>
      <c r="G5" s="17" t="s">
        <v>22</v>
      </c>
      <c r="H5" s="4"/>
      <c r="I5" s="4"/>
      <c r="J5" s="4"/>
      <c r="K5" s="4"/>
    </row>
    <row r="6">
      <c r="A6" s="5" t="s">
        <v>23</v>
      </c>
      <c r="B6" s="6">
        <v>10.0</v>
      </c>
      <c r="C6" s="6">
        <v>13.46</v>
      </c>
      <c r="D6" s="7">
        <f t="shared" si="1"/>
        <v>134.6</v>
      </c>
      <c r="E6" s="8" t="s">
        <v>24</v>
      </c>
      <c r="F6" s="22" t="s">
        <v>25</v>
      </c>
      <c r="G6" s="10" t="s">
        <v>26</v>
      </c>
      <c r="H6" s="4"/>
      <c r="I6" s="4"/>
      <c r="J6" s="4"/>
      <c r="K6" s="4"/>
    </row>
    <row r="7">
      <c r="A7" s="11" t="s">
        <v>27</v>
      </c>
      <c r="B7" s="12">
        <v>3.0</v>
      </c>
      <c r="C7" s="12">
        <v>35.0</v>
      </c>
      <c r="D7" s="20">
        <f t="shared" si="1"/>
        <v>105</v>
      </c>
      <c r="E7" s="15" t="s">
        <v>28</v>
      </c>
      <c r="F7" s="21" t="s">
        <v>29</v>
      </c>
      <c r="G7" s="17" t="s">
        <v>30</v>
      </c>
      <c r="H7" s="4"/>
      <c r="I7" s="4"/>
      <c r="J7" s="4"/>
      <c r="K7" s="4"/>
    </row>
    <row r="8">
      <c r="A8" s="5" t="s">
        <v>31</v>
      </c>
      <c r="B8" s="6">
        <v>1.0</v>
      </c>
      <c r="C8" s="6">
        <v>24.9</v>
      </c>
      <c r="D8" s="7">
        <f t="shared" si="1"/>
        <v>24.9</v>
      </c>
      <c r="E8" s="8" t="s">
        <v>32</v>
      </c>
      <c r="F8" s="23" t="s">
        <v>33</v>
      </c>
      <c r="G8" s="10" t="s">
        <v>30</v>
      </c>
      <c r="H8" s="4"/>
      <c r="I8" s="4"/>
      <c r="J8" s="4"/>
      <c r="K8" s="4"/>
    </row>
    <row r="9">
      <c r="A9" s="11" t="s">
        <v>34</v>
      </c>
      <c r="B9" s="12">
        <v>1.0</v>
      </c>
      <c r="C9" s="12">
        <v>14.4</v>
      </c>
      <c r="D9" s="20">
        <f t="shared" si="1"/>
        <v>14.4</v>
      </c>
      <c r="E9" s="15" t="s">
        <v>32</v>
      </c>
      <c r="F9" s="21" t="s">
        <v>35</v>
      </c>
      <c r="G9" s="17" t="s">
        <v>30</v>
      </c>
      <c r="H9" s="4"/>
      <c r="I9" s="4"/>
      <c r="J9" s="4"/>
      <c r="K9" s="4"/>
    </row>
    <row r="10">
      <c r="A10" s="24" t="s">
        <v>36</v>
      </c>
      <c r="B10" s="25" t="s">
        <v>37</v>
      </c>
      <c r="C10" s="25" t="s">
        <v>37</v>
      </c>
      <c r="D10" s="26">
        <f>SUM(D2:D9)</f>
        <v>988.5</v>
      </c>
      <c r="E10" s="27"/>
      <c r="F10" s="27"/>
      <c r="G10" s="28"/>
      <c r="H10" s="4"/>
      <c r="I10" s="4"/>
      <c r="J10" s="4"/>
      <c r="K10" s="4"/>
    </row>
    <row r="11">
      <c r="A11" s="29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29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>
      <c r="A13" s="29"/>
      <c r="B13" s="4"/>
      <c r="C13" s="4"/>
      <c r="D13" s="4"/>
      <c r="E13" s="4"/>
      <c r="F13" s="4"/>
      <c r="G13" s="4"/>
    </row>
    <row r="14">
      <c r="A14" s="29"/>
      <c r="B14" s="4"/>
      <c r="C14" s="4"/>
      <c r="D14" s="4"/>
      <c r="E14" s="4"/>
      <c r="F14" s="4"/>
      <c r="G14" s="4"/>
    </row>
    <row r="15">
      <c r="A15" s="30"/>
    </row>
    <row r="16">
      <c r="A16" s="30"/>
      <c r="D16" s="31">
        <f>D6+D5</f>
        <v>224.2</v>
      </c>
    </row>
    <row r="18">
      <c r="A18" s="30"/>
    </row>
    <row r="19">
      <c r="A19" s="30"/>
    </row>
    <row r="20">
      <c r="A20" s="30"/>
    </row>
    <row r="21">
      <c r="A21" s="30"/>
    </row>
  </sheetData>
  <dataValidations>
    <dataValidation type="custom" allowBlank="1" showDropDown="1" sqref="D2:D10">
      <formula1>AND(ISNUMBER(D2),(NOT(OR(NOT(ISERROR(DATEVALUE(D2))), AND(ISNUMBER(D2), LEFT(CELL("format", D2))="D")))))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3" max="3" width="13.25"/>
    <col customWidth="1" min="4" max="4" width="17.0"/>
    <col customWidth="1" min="5" max="5" width="34.63"/>
    <col customWidth="1" min="6" max="6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38</v>
      </c>
      <c r="F1" s="2" t="s">
        <v>39</v>
      </c>
      <c r="G1" s="32" t="s">
        <v>40</v>
      </c>
      <c r="H1" s="4"/>
      <c r="I1" s="4"/>
    </row>
    <row r="2">
      <c r="A2" s="33" t="s">
        <v>41</v>
      </c>
      <c r="B2" s="34">
        <v>2.0</v>
      </c>
      <c r="C2" s="34">
        <v>36.57</v>
      </c>
      <c r="D2" s="35">
        <f t="shared" ref="D2:D4" si="1">B2*C2</f>
        <v>73.14</v>
      </c>
      <c r="E2" s="36" t="s">
        <v>42</v>
      </c>
      <c r="F2" s="37" t="s">
        <v>43</v>
      </c>
      <c r="G2" s="38"/>
      <c r="H2" s="4"/>
      <c r="I2" s="4"/>
    </row>
    <row r="3">
      <c r="A3" s="39" t="s">
        <v>44</v>
      </c>
      <c r="B3" s="12">
        <v>1.0</v>
      </c>
      <c r="C3" s="13">
        <v>12.9</v>
      </c>
      <c r="D3" s="20">
        <f t="shared" si="1"/>
        <v>12.9</v>
      </c>
      <c r="E3" s="15"/>
      <c r="F3" s="40" t="s">
        <v>45</v>
      </c>
      <c r="G3" s="41"/>
      <c r="H3" s="4"/>
      <c r="I3" s="4"/>
    </row>
    <row r="4">
      <c r="A4" s="42" t="s">
        <v>46</v>
      </c>
      <c r="B4" s="6">
        <v>1.0</v>
      </c>
      <c r="C4" s="18">
        <v>9.1</v>
      </c>
      <c r="D4" s="7">
        <f t="shared" si="1"/>
        <v>9.1</v>
      </c>
      <c r="E4" s="8"/>
      <c r="F4" s="43" t="s">
        <v>47</v>
      </c>
      <c r="G4" s="38"/>
      <c r="H4" s="4"/>
      <c r="I4" s="4"/>
    </row>
    <row r="5">
      <c r="A5" s="44" t="s">
        <v>48</v>
      </c>
      <c r="B5" s="45"/>
      <c r="C5" s="46"/>
      <c r="D5" s="47">
        <f>14.04+9.69</f>
        <v>23.73</v>
      </c>
      <c r="E5" s="48"/>
      <c r="F5" s="49"/>
      <c r="G5" s="41"/>
      <c r="H5" s="4"/>
      <c r="I5" s="4"/>
    </row>
    <row r="6">
      <c r="A6" s="42" t="s">
        <v>49</v>
      </c>
      <c r="B6" s="6">
        <v>3.0</v>
      </c>
      <c r="C6" s="6">
        <v>3.12</v>
      </c>
      <c r="D6" s="7">
        <f t="shared" ref="D6:D7" si="2">B6*C6</f>
        <v>9.36</v>
      </c>
      <c r="E6" s="50" t="s">
        <v>50</v>
      </c>
      <c r="F6" s="43"/>
      <c r="G6" s="38"/>
      <c r="H6" s="4"/>
      <c r="I6" s="4"/>
    </row>
    <row r="7">
      <c r="A7" s="39" t="s">
        <v>27</v>
      </c>
      <c r="B7" s="12">
        <v>1.0</v>
      </c>
      <c r="C7" s="12">
        <v>55.0</v>
      </c>
      <c r="D7" s="20">
        <f t="shared" si="2"/>
        <v>55</v>
      </c>
      <c r="E7" s="15"/>
      <c r="F7" s="40" t="s">
        <v>26</v>
      </c>
      <c r="G7" s="41"/>
      <c r="H7" s="4"/>
      <c r="I7" s="4"/>
    </row>
    <row r="8">
      <c r="A8" s="44" t="s">
        <v>48</v>
      </c>
      <c r="B8" s="51"/>
      <c r="C8" s="51"/>
      <c r="D8" s="52">
        <f>6.99+6.33</f>
        <v>13.32</v>
      </c>
      <c r="E8" s="53"/>
      <c r="F8" s="54"/>
      <c r="G8" s="38"/>
      <c r="H8" s="4"/>
      <c r="I8" s="4"/>
    </row>
    <row r="9">
      <c r="A9" s="39" t="s">
        <v>51</v>
      </c>
      <c r="B9" s="12">
        <v>2.0</v>
      </c>
      <c r="C9" s="12">
        <v>6.62</v>
      </c>
      <c r="D9" s="20">
        <f t="shared" ref="D9:D11" si="3">B9*C9</f>
        <v>13.24</v>
      </c>
      <c r="E9" s="55" t="s">
        <v>52</v>
      </c>
      <c r="F9" s="40"/>
      <c r="G9" s="41"/>
      <c r="H9" s="4"/>
      <c r="I9" s="4"/>
    </row>
    <row r="10">
      <c r="A10" s="42" t="s">
        <v>53</v>
      </c>
      <c r="B10" s="6">
        <v>3.0</v>
      </c>
      <c r="C10" s="6">
        <v>3.94</v>
      </c>
      <c r="D10" s="7">
        <f t="shared" si="3"/>
        <v>11.82</v>
      </c>
      <c r="E10" s="8"/>
      <c r="F10" s="43"/>
      <c r="G10" s="38"/>
      <c r="H10" s="4"/>
      <c r="I10" s="4"/>
    </row>
    <row r="11">
      <c r="A11" s="39" t="s">
        <v>54</v>
      </c>
      <c r="B11" s="12">
        <v>2.0</v>
      </c>
      <c r="C11" s="12">
        <v>0.94</v>
      </c>
      <c r="D11" s="20">
        <f t="shared" si="3"/>
        <v>1.88</v>
      </c>
      <c r="E11" s="15"/>
      <c r="F11" s="40"/>
      <c r="G11" s="41"/>
      <c r="H11" s="4"/>
      <c r="I11" s="4"/>
    </row>
    <row r="12">
      <c r="A12" s="44" t="s">
        <v>48</v>
      </c>
      <c r="B12" s="51"/>
      <c r="C12" s="51"/>
      <c r="D12" s="56">
        <f>4.61</f>
        <v>4.61</v>
      </c>
      <c r="E12" s="53"/>
      <c r="F12" s="54"/>
      <c r="G12" s="38"/>
      <c r="H12" s="4"/>
      <c r="I12" s="4"/>
    </row>
    <row r="13">
      <c r="A13" s="11" t="s">
        <v>55</v>
      </c>
      <c r="B13" s="12">
        <v>1.0</v>
      </c>
      <c r="C13" s="12">
        <v>9.99</v>
      </c>
      <c r="D13" s="20">
        <f t="shared" ref="D13:D15" si="4">B13*C13</f>
        <v>9.99</v>
      </c>
      <c r="E13" s="55" t="s">
        <v>56</v>
      </c>
      <c r="F13" s="15"/>
      <c r="G13" s="41"/>
      <c r="H13" s="4"/>
      <c r="I13" s="4"/>
    </row>
    <row r="14">
      <c r="A14" s="5" t="s">
        <v>27</v>
      </c>
      <c r="B14" s="6">
        <v>1.0</v>
      </c>
      <c r="C14" s="6">
        <v>23.89</v>
      </c>
      <c r="D14" s="7">
        <f t="shared" si="4"/>
        <v>23.89</v>
      </c>
      <c r="E14" s="8"/>
      <c r="F14" s="8"/>
      <c r="G14" s="38"/>
      <c r="H14" s="4"/>
      <c r="I14" s="4"/>
    </row>
    <row r="15">
      <c r="A15" s="11" t="s">
        <v>57</v>
      </c>
      <c r="B15" s="12">
        <v>1.0</v>
      </c>
      <c r="C15" s="12">
        <v>17.99</v>
      </c>
      <c r="D15" s="20">
        <f t="shared" si="4"/>
        <v>17.99</v>
      </c>
      <c r="E15" s="15"/>
      <c r="F15" s="15"/>
      <c r="G15" s="41"/>
      <c r="H15" s="4"/>
      <c r="I15" s="4"/>
    </row>
    <row r="16">
      <c r="A16" s="44" t="s">
        <v>48</v>
      </c>
      <c r="B16" s="51"/>
      <c r="C16" s="51"/>
      <c r="D16" s="56">
        <f>1.32+6.99+3.13</f>
        <v>11.44</v>
      </c>
      <c r="E16" s="53"/>
      <c r="F16" s="53"/>
      <c r="G16" s="38"/>
      <c r="H16" s="4"/>
      <c r="I16" s="4"/>
    </row>
    <row r="17">
      <c r="A17" s="11" t="s">
        <v>58</v>
      </c>
      <c r="B17" s="12">
        <v>1.0</v>
      </c>
      <c r="C17" s="12">
        <v>37.32</v>
      </c>
      <c r="D17" s="14">
        <f>C17*B17</f>
        <v>37.32</v>
      </c>
      <c r="E17" s="55" t="s">
        <v>59</v>
      </c>
      <c r="F17" s="15" t="s">
        <v>60</v>
      </c>
      <c r="G17" s="41"/>
    </row>
    <row r="18">
      <c r="A18" s="44" t="s">
        <v>48</v>
      </c>
      <c r="B18" s="51"/>
      <c r="C18" s="57"/>
      <c r="D18" s="56">
        <f>14.07+4.56</f>
        <v>18.63</v>
      </c>
      <c r="E18" s="53"/>
      <c r="F18" s="53"/>
      <c r="G18" s="38"/>
    </row>
    <row r="19">
      <c r="A19" s="58" t="s">
        <v>61</v>
      </c>
      <c r="B19" s="59">
        <v>1.0</v>
      </c>
      <c r="C19" s="59">
        <v>29.13</v>
      </c>
      <c r="D19" s="60">
        <f>B19*C19</f>
        <v>29.13</v>
      </c>
      <c r="E19" s="61"/>
      <c r="F19" s="62"/>
      <c r="G19" s="41"/>
    </row>
    <row r="20">
      <c r="A20" s="33" t="s">
        <v>62</v>
      </c>
      <c r="B20" s="34"/>
      <c r="C20" s="34"/>
      <c r="D20" s="63">
        <v>22.68</v>
      </c>
      <c r="E20" s="64"/>
      <c r="F20" s="37"/>
      <c r="G20" s="38"/>
    </row>
    <row r="21">
      <c r="A21" s="65" t="s">
        <v>48</v>
      </c>
      <c r="B21" s="45"/>
      <c r="C21" s="45"/>
      <c r="D21" s="66">
        <f>7.99+0.46+2.76</f>
        <v>11.21</v>
      </c>
      <c r="E21" s="48"/>
      <c r="F21" s="49"/>
      <c r="G21" s="41"/>
    </row>
    <row r="22">
      <c r="A22" s="33" t="s">
        <v>63</v>
      </c>
      <c r="B22" s="34"/>
      <c r="C22" s="34"/>
      <c r="D22" s="63">
        <v>3.12</v>
      </c>
      <c r="E22" s="64"/>
      <c r="F22" s="37"/>
      <c r="G22" s="38"/>
    </row>
    <row r="23">
      <c r="A23" s="65" t="s">
        <v>48</v>
      </c>
      <c r="B23" s="45"/>
      <c r="C23" s="45"/>
      <c r="D23" s="66">
        <f>8+0.78</f>
        <v>8.78</v>
      </c>
      <c r="E23" s="48"/>
      <c r="F23" s="49"/>
      <c r="G23" s="41"/>
    </row>
    <row r="24">
      <c r="A24" s="33" t="s">
        <v>64</v>
      </c>
      <c r="B24" s="34"/>
      <c r="C24" s="34"/>
      <c r="D24" s="63">
        <v>111.38</v>
      </c>
      <c r="E24" s="64"/>
      <c r="F24" s="37"/>
      <c r="G24" s="38"/>
    </row>
    <row r="25">
      <c r="A25" s="65" t="s">
        <v>48</v>
      </c>
      <c r="B25" s="45"/>
      <c r="C25" s="45"/>
      <c r="D25" s="66">
        <f>36.1+13.08</f>
        <v>49.18</v>
      </c>
      <c r="E25" s="48"/>
      <c r="F25" s="49"/>
      <c r="G25" s="67">
        <f>SUM(D20:D25)</f>
        <v>206.35</v>
      </c>
    </row>
    <row r="26">
      <c r="A26" s="5"/>
      <c r="B26" s="6"/>
      <c r="C26" s="6"/>
      <c r="D26" s="19"/>
      <c r="E26" s="8"/>
      <c r="F26" s="8"/>
      <c r="G26" s="38"/>
    </row>
    <row r="27">
      <c r="A27" s="11"/>
      <c r="B27" s="12"/>
      <c r="C27" s="12"/>
      <c r="D27" s="14">
        <v>136.35</v>
      </c>
      <c r="E27" s="15"/>
      <c r="F27" s="15"/>
      <c r="G27" s="41"/>
    </row>
    <row r="28">
      <c r="A28" s="68" t="s">
        <v>36</v>
      </c>
      <c r="B28" s="69" t="s">
        <v>37</v>
      </c>
      <c r="C28" s="69" t="s">
        <v>37</v>
      </c>
      <c r="D28" s="70">
        <f>SUM(D2:D26)</f>
        <v>582.84</v>
      </c>
      <c r="E28" s="71"/>
      <c r="F28" s="72"/>
      <c r="G28" s="73"/>
    </row>
    <row r="29">
      <c r="A29" s="29"/>
      <c r="B29" s="4"/>
      <c r="C29" s="4"/>
      <c r="D29" s="74" t="s">
        <v>65</v>
      </c>
      <c r="E29" s="74" t="s">
        <v>66</v>
      </c>
      <c r="F29" s="74" t="s">
        <v>67</v>
      </c>
    </row>
    <row r="30">
      <c r="A30" s="75" t="s">
        <v>68</v>
      </c>
      <c r="B30" s="4"/>
      <c r="C30" s="4"/>
      <c r="D30" s="76">
        <v>620.0</v>
      </c>
      <c r="E30" s="77">
        <f>87.09+94.86+D20+D21+D22+D23+D24+D25+D26+D27</f>
        <v>524.65</v>
      </c>
      <c r="F30" s="78">
        <f t="shared" ref="F30:F32" si="5">D30-E30</f>
        <v>95.35</v>
      </c>
    </row>
    <row r="31">
      <c r="A31" s="75" t="s">
        <v>69</v>
      </c>
      <c r="B31" s="4"/>
      <c r="C31" s="4"/>
      <c r="D31" s="76">
        <v>224.2</v>
      </c>
      <c r="E31" s="76">
        <f>55.95 +118.87</f>
        <v>174.82</v>
      </c>
      <c r="F31" s="79">
        <f t="shared" si="5"/>
        <v>49.38</v>
      </c>
    </row>
    <row r="32">
      <c r="A32" s="80" t="s">
        <v>70</v>
      </c>
      <c r="D32" s="76">
        <v>144.3</v>
      </c>
      <c r="E32" s="76">
        <f>77.68 + 29.13</f>
        <v>106.81</v>
      </c>
      <c r="F32" s="79">
        <f t="shared" si="5"/>
        <v>37.49</v>
      </c>
    </row>
    <row r="33">
      <c r="A33" s="30"/>
      <c r="E33" s="76"/>
      <c r="F33" s="79"/>
    </row>
    <row r="34">
      <c r="A34" s="80" t="s">
        <v>36</v>
      </c>
      <c r="B34" s="81"/>
      <c r="C34" s="81"/>
      <c r="D34" s="74">
        <v>988.5</v>
      </c>
      <c r="E34" s="82">
        <f>SUM(E30:E32)</f>
        <v>806.28</v>
      </c>
      <c r="F34" s="83">
        <f>D34-E34</f>
        <v>182.22</v>
      </c>
    </row>
    <row r="35">
      <c r="A35" s="30"/>
      <c r="E35" s="76"/>
    </row>
    <row r="36">
      <c r="A36" s="30"/>
    </row>
    <row r="37">
      <c r="A37" s="30"/>
    </row>
    <row r="38">
      <c r="A38" s="30"/>
    </row>
  </sheetData>
  <dataValidations>
    <dataValidation type="custom" allowBlank="1" showDropDown="1" sqref="D2:D28">
      <formula1>AND(ISNUMBER(D2),(NOT(OR(NOT(ISERROR(DATEVALUE(D2))), AND(ISNUMBER(D2), LEFT(CELL("format", D2))="D")))))</formula1>
    </dataValidation>
  </dataValidations>
  <hyperlinks>
    <hyperlink r:id="rId1" ref="E2"/>
    <hyperlink r:id="rId2" ref="E6"/>
    <hyperlink r:id="rId3" ref="E9"/>
    <hyperlink r:id="rId4" ref="E13"/>
    <hyperlink r:id="rId5" ref="E1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32CB359BA69489F6C79714204B00E" ma:contentTypeVersion="14" ma:contentTypeDescription="Create a new document." ma:contentTypeScope="" ma:versionID="7ab18044fb5d88f699f2f790d342e0de">
  <xsd:schema xmlns:xsd="http://www.w3.org/2001/XMLSchema" xmlns:xs="http://www.w3.org/2001/XMLSchema" xmlns:p="http://schemas.microsoft.com/office/2006/metadata/properties" xmlns:ns2="804dc4cd-ef2b-4e5c-96d8-e6e32376e6f6" xmlns:ns3="81564390-d73e-4a66-843d-71cd5357285e" targetNamespace="http://schemas.microsoft.com/office/2006/metadata/properties" ma:root="true" ma:fieldsID="17c823f52cdff4deb0e05847c3aa5003" ns2:_="" ns3:_="">
    <xsd:import namespace="804dc4cd-ef2b-4e5c-96d8-e6e32376e6f6"/>
    <xsd:import namespace="81564390-d73e-4a66-843d-71cd535728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dc4cd-ef2b-4e5c-96d8-e6e32376e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370d91-3805-45da-a301-33c566632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64390-d73e-4a66-843d-71cd535728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2b963b-d726-43f5-a1ce-3bcd675bad47}" ma:internalName="TaxCatchAll" ma:showField="CatchAllData" ma:web="81564390-d73e-4a66-843d-71cd535728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564390-d73e-4a66-843d-71cd5357285e" xsi:nil="true"/>
    <lcf76f155ced4ddcb4097134ff3c332f xmlns="804dc4cd-ef2b-4e5c-96d8-e6e32376e6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0640C9-599D-4A8F-BB47-64771595D51D}"/>
</file>

<file path=customXml/itemProps2.xml><?xml version="1.0" encoding="utf-8"?>
<ds:datastoreItem xmlns:ds="http://schemas.openxmlformats.org/officeDocument/2006/customXml" ds:itemID="{F0037DE6-0D82-44E9-8A64-29F7A6CE9EC6}"/>
</file>

<file path=customXml/itemProps3.xml><?xml version="1.0" encoding="utf-8"?>
<ds:datastoreItem xmlns:ds="http://schemas.openxmlformats.org/officeDocument/2006/customXml" ds:itemID="{A57A3A7C-4CE4-45BE-8304-4139CE5D8F3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0x010100FA932CB359BA69489F6C79714204B00E</vt:lpwstr>
  </property>
</Properties>
</file>